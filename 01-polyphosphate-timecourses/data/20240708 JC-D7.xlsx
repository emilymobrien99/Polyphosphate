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ser\Emily-OBrien\Cytation\"/>
    </mc:Choice>
  </mc:AlternateContent>
  <xr:revisionPtr revIDLastSave="0" documentId="8_{7D9F4DFF-D6F1-4FDB-95DA-392DFA8DCF50}" xr6:coauthVersionLast="47" xr6:coauthVersionMax="47" xr10:uidLastSave="{00000000-0000-0000-0000-000000000000}"/>
  <bookViews>
    <workbookView xWindow="-120" yWindow="-120" windowWidth="25440" windowHeight="15270" activeTab="1" xr2:uid="{00000000-000D-0000-FFFF-FFFF00000000}"/>
  </bookViews>
  <sheets>
    <sheet name="Plate 1 - Sheet1" sheetId="1" r:id="rId1"/>
    <sheet name="Sheet1" sheetId="2" r:id="rId2"/>
  </sheets>
  <definedNames>
    <definedName name="MethodPointer1">-1350997440</definedName>
    <definedName name="MethodPointer2">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1" i="2" l="1"/>
  <c r="G42" i="2"/>
  <c r="G43" i="2"/>
  <c r="G44" i="2"/>
  <c r="G45" i="2"/>
  <c r="G46" i="2"/>
  <c r="G47" i="2"/>
  <c r="G48" i="2"/>
  <c r="G40" i="2"/>
  <c r="G29" i="2"/>
  <c r="G30" i="2"/>
  <c r="G31" i="2"/>
  <c r="G32" i="2"/>
  <c r="G33" i="2"/>
  <c r="G34" i="2"/>
  <c r="G35" i="2"/>
  <c r="G36" i="2"/>
  <c r="G28" i="2"/>
  <c r="G17" i="2"/>
  <c r="G18" i="2"/>
  <c r="G19" i="2"/>
  <c r="G20" i="2"/>
  <c r="G21" i="2"/>
  <c r="G22" i="2"/>
  <c r="G23" i="2"/>
  <c r="G24" i="2"/>
  <c r="G16" i="2"/>
  <c r="G5" i="2"/>
  <c r="G6" i="2"/>
  <c r="G7" i="2"/>
  <c r="G8" i="2"/>
  <c r="G9" i="2"/>
  <c r="G10" i="2"/>
  <c r="G11" i="2"/>
  <c r="G12" i="2"/>
  <c r="G4" i="2"/>
</calcChain>
</file>

<file path=xl/sharedStrings.xml><?xml version="1.0" encoding="utf-8"?>
<sst xmlns="http://schemas.openxmlformats.org/spreadsheetml/2006/main" count="40" uniqueCount="40">
  <si>
    <t>Software Version</t>
  </si>
  <si>
    <t>3.08.01</t>
  </si>
  <si>
    <t>Experiment File Path:</t>
  </si>
  <si>
    <t>Protocol File Path:</t>
  </si>
  <si>
    <t>Plate Number</t>
  </si>
  <si>
    <t>Plate 1</t>
  </si>
  <si>
    <t>Date</t>
  </si>
  <si>
    <t>Time</t>
  </si>
  <si>
    <t>Reader Type:</t>
  </si>
  <si>
    <t>Cytation5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</si>
  <si>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</si>
  <si>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</si>
  <si>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</si>
  <si>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</si>
  <si>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</si>
  <si>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</si>
  <si>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</si>
  <si>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</si>
  <si>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</si>
  <si>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</si>
  <si>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</t>
  </si>
  <si>
    <t xml:space="preserve">    Excitation: 380/40,  Emission: 500/20</t>
  </si>
  <si>
    <t xml:space="preserve">    Optics: Top,  Gain: extended</t>
  </si>
  <si>
    <t>Light Source: Xenon Flash,  Lamp Energy: High,  Extended Dynamic Range</t>
  </si>
  <si>
    <t>Read Speed: Normal,  Delay: 100 msec,  Measurements/Data Point: 10</t>
  </si>
  <si>
    <t>Read Height: 7 mm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</si>
  <si>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</si>
  <si>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</si>
  <si>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</si>
  <si>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</si>
  <si>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</si>
  <si>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</si>
  <si>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</si>
  <si>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</si>
  <si>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</si>
  <si>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</si>
  <si>
    <t>Sc</t>
  </si>
  <si>
    <t>Cg</t>
  </si>
  <si>
    <t>Kl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</si>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</sst>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3" fontId="4" fillId="0" borderId="0" xfId="0" applyNumberFormat="1" applyFont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36"/>
  <sheetViews>
    <sheetView topLeftCell="A4" workbookViewId="0">
      <selection activeCell="M29" sqref="M29:N32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</row>
    <row r="5" spans="1:2" x14ac:dyDescent="0.2">
      <c r="A5" t="s">
        <v>3</v>
      </c>
    </row>
    <row r="6" spans="1:2" x14ac:dyDescent="0.2">
      <c r="A6" t="s">
        <v>4</v>
      </c>
      <c r="B6" t="s">
        <v>5</v>
      </c>
    </row>
    <row r="7" spans="1:2" x14ac:dyDescent="0.2">
      <c r="A7" t="s">
        <v>6</v>
      </c>
      <c r="B7" s="1">
        <v>45481</v>
      </c>
    </row>
    <row r="8" spans="1:2" x14ac:dyDescent="0.2">
      <c r="A8" t="s">
        <v>7</v>
      </c>
      <c r="B8" s="2">
        <v>0.43417824074074068</v>
      </c>
    </row>
    <row r="9" spans="1:2" x14ac:dyDescent="0.2">
      <c r="A9" t="s">
        <v>8</v>
      </c>
      <c r="B9" t="s">
        <v>9</v>
      </c>
    </row>
    <row r="10" spans="1:2" x14ac:dyDescent="0.2">
      <c r="A10" t="s">
        <v>10</v>
      </c>
      <c r="B10">
        <v>19112517</v>
      </c>
    </row>
    <row r="11" spans="1:2" x14ac:dyDescent="0.2">
      <c r="A11" t="s">
        <v>11</v>
      </c>
      <c r="B11" t="s">
        <v>12</v>
      </c>
    </row>
    <row r="13" spans="1:2" x14ac:dyDescent="0.2">
      <c r="A13" s="3" t="s">
        <v>13</v>
      </c>
      <c r="B13" s="4"/>
    </row>
    <row r="14" spans="1:2" x14ac:dyDescent="0.2">
      <c r="A14" t="s">
        <v>14</v>
      </c>
      <c r="B14" t="s">
        <v>15</v>
      </c>
    </row>
    <row r="15" spans="1:2" x14ac:dyDescent="0.2">
      <c r="A15" t="s">
        <v>16</v>
      </c>
    </row>
    <row r="16" spans="1:2" x14ac:dyDescent="0.2">
      <c r="A16" t="s">
        <v>17</v>
      </c>
      <c r="B16" t="s">
        <v>18</v>
      </c>
    </row>
    <row r="17" spans="1:15" x14ac:dyDescent="0.2">
      <c r="B17" t="s">
        <v>19</v>
      </c>
    </row>
    <row r="18" spans="1:15" x14ac:dyDescent="0.2">
      <c r="B18" t="s">
        <v>20</v>
      </c>
    </row>
    <row r="19" spans="1:15" x14ac:dyDescent="0.2">
      <c r="B19" t="s">
        <v>21</v>
      </c>
    </row>
    <row r="20" spans="1:15" x14ac:dyDescent="0.2">
      <c r="B20" t="s">
        <v>22</v>
      </c>
    </row>
    <row r="21" spans="1:15" x14ac:dyDescent="0.2">
      <c r="B21" t="s">
        <v>23</v>
      </c>
    </row>
    <row r="22" spans="1:15" x14ac:dyDescent="0.2">
      <c r="B22" t="s">
        <v>24</v>
      </c>
    </row>
    <row r="23" spans="1:15" x14ac:dyDescent="0.2">
      <c r="B23" t="s">
        <v>25</v>
      </c>
    </row>
    <row r="25" spans="1:15" x14ac:dyDescent="0.2">
      <c r="A25" s="3" t="s">
        <v>26</v>
      </c>
      <c r="B25" s="4"/>
    </row>
    <row r="26" spans="1:15" x14ac:dyDescent="0.2">
      <c r="A26" t="s">
        <v>27</v>
      </c>
      <c r="B26">
        <v>28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x14ac:dyDescent="0.2">
      <c r="B29" s="6" t="s">
        <v>28</v>
      </c>
      <c r="C29" s="7">
        <v>258758</v>
      </c>
      <c r="D29" s="8">
        <v>224611</v>
      </c>
      <c r="E29" s="9">
        <v>101436</v>
      </c>
      <c r="F29" s="9">
        <v>101991</v>
      </c>
      <c r="G29" s="10">
        <v>113926</v>
      </c>
      <c r="H29" s="10">
        <v>113694</v>
      </c>
      <c r="I29" s="11">
        <v>29140</v>
      </c>
      <c r="J29" s="11">
        <v>28674</v>
      </c>
      <c r="K29" s="12">
        <v>49215</v>
      </c>
      <c r="L29" s="12">
        <v>49507</v>
      </c>
      <c r="M29" s="11">
        <v>21056</v>
      </c>
      <c r="N29" s="11">
        <v>24265</v>
      </c>
      <c r="O29" s="13">
        <v>380500</v>
      </c>
    </row>
    <row r="30" spans="1:15" x14ac:dyDescent="0.2">
      <c r="B30" s="6" t="s">
        <v>29</v>
      </c>
      <c r="C30" s="8">
        <v>227506</v>
      </c>
      <c r="D30" s="8">
        <v>239350</v>
      </c>
      <c r="E30" s="12">
        <v>56115</v>
      </c>
      <c r="F30" s="12">
        <v>52065</v>
      </c>
      <c r="G30" s="11">
        <v>32568</v>
      </c>
      <c r="H30" s="11">
        <v>24903</v>
      </c>
      <c r="I30" s="11">
        <v>33688</v>
      </c>
      <c r="J30" s="11">
        <v>37580</v>
      </c>
      <c r="K30" s="12">
        <v>38817</v>
      </c>
      <c r="L30" s="12">
        <v>40985</v>
      </c>
      <c r="M30" s="14">
        <v>17975</v>
      </c>
      <c r="N30" s="11">
        <v>22051</v>
      </c>
      <c r="O30" s="13">
        <v>380500</v>
      </c>
    </row>
    <row r="31" spans="1:15" x14ac:dyDescent="0.2">
      <c r="B31" s="6" t="s">
        <v>30</v>
      </c>
      <c r="C31" s="9">
        <v>100214</v>
      </c>
      <c r="D31" s="9">
        <v>109197</v>
      </c>
      <c r="E31" s="12">
        <v>52378</v>
      </c>
      <c r="F31" s="12">
        <v>47490</v>
      </c>
      <c r="G31" s="14">
        <v>18225</v>
      </c>
      <c r="H31" s="14">
        <v>18985</v>
      </c>
      <c r="I31" s="11">
        <v>27749</v>
      </c>
      <c r="J31" s="11">
        <v>25320</v>
      </c>
      <c r="K31" s="11">
        <v>33435</v>
      </c>
      <c r="L31" s="11">
        <v>29129</v>
      </c>
      <c r="M31" s="14">
        <v>16825</v>
      </c>
      <c r="N31" s="11">
        <v>21772</v>
      </c>
      <c r="O31" s="13">
        <v>380500</v>
      </c>
    </row>
    <row r="32" spans="1:15" x14ac:dyDescent="0.2">
      <c r="B32" s="6" t="s">
        <v>31</v>
      </c>
      <c r="C32" s="15">
        <v>75913</v>
      </c>
      <c r="D32" s="15">
        <v>75309</v>
      </c>
      <c r="E32" s="12">
        <v>54805</v>
      </c>
      <c r="F32" s="12">
        <v>51623</v>
      </c>
      <c r="G32" s="11">
        <v>28554</v>
      </c>
      <c r="H32" s="11">
        <v>28284</v>
      </c>
      <c r="I32" s="11">
        <v>20825</v>
      </c>
      <c r="J32" s="11">
        <v>21478</v>
      </c>
      <c r="K32" s="14">
        <v>13200</v>
      </c>
      <c r="L32" s="14">
        <v>15388</v>
      </c>
      <c r="M32" s="11">
        <v>20739</v>
      </c>
      <c r="N32" s="11">
        <v>20887</v>
      </c>
      <c r="O32" s="13">
        <v>380500</v>
      </c>
    </row>
    <row r="33" spans="2:15" x14ac:dyDescent="0.2">
      <c r="B33" s="6" t="s">
        <v>32</v>
      </c>
      <c r="C33" s="16">
        <v>58921</v>
      </c>
      <c r="D33" s="16">
        <v>57398</v>
      </c>
      <c r="E33" s="16">
        <v>59520</v>
      </c>
      <c r="F33" s="16">
        <v>58996</v>
      </c>
      <c r="G33" s="11">
        <v>32160</v>
      </c>
      <c r="H33" s="11">
        <v>31637</v>
      </c>
      <c r="I33" s="11">
        <v>27995</v>
      </c>
      <c r="J33" s="11">
        <v>27724</v>
      </c>
      <c r="K33" s="14">
        <v>19676</v>
      </c>
      <c r="L33" s="14">
        <v>16388</v>
      </c>
      <c r="M33" s="14">
        <v>1518</v>
      </c>
      <c r="N33" s="14">
        <v>1470</v>
      </c>
      <c r="O33" s="13">
        <v>380500</v>
      </c>
    </row>
    <row r="34" spans="2:15" x14ac:dyDescent="0.2">
      <c r="B34" s="6" t="s">
        <v>33</v>
      </c>
      <c r="C34" s="12">
        <v>39507</v>
      </c>
      <c r="D34" s="12">
        <v>40784</v>
      </c>
      <c r="E34" s="15">
        <v>87416</v>
      </c>
      <c r="F34" s="15">
        <v>89134</v>
      </c>
      <c r="G34" s="11">
        <v>31502</v>
      </c>
      <c r="H34" s="11">
        <v>30031</v>
      </c>
      <c r="I34" s="11">
        <v>36103</v>
      </c>
      <c r="J34" s="11">
        <v>35058</v>
      </c>
      <c r="K34" s="11">
        <v>21436</v>
      </c>
      <c r="L34" s="14">
        <v>16534</v>
      </c>
      <c r="M34" s="14">
        <v>1486</v>
      </c>
      <c r="N34" s="14">
        <v>1529</v>
      </c>
      <c r="O34" s="13">
        <v>380500</v>
      </c>
    </row>
    <row r="35" spans="2:15" x14ac:dyDescent="0.2">
      <c r="B35" s="6" t="s">
        <v>34</v>
      </c>
      <c r="C35" s="11">
        <v>32434</v>
      </c>
      <c r="D35" s="11">
        <v>31424</v>
      </c>
      <c r="E35" s="9">
        <v>97785</v>
      </c>
      <c r="F35" s="15">
        <v>89712</v>
      </c>
      <c r="G35" s="11">
        <v>31409</v>
      </c>
      <c r="H35" s="11">
        <v>30632</v>
      </c>
      <c r="I35" s="11">
        <v>30855</v>
      </c>
      <c r="J35" s="11">
        <v>32342</v>
      </c>
      <c r="K35" s="11">
        <v>23189</v>
      </c>
      <c r="L35" s="11">
        <v>20465</v>
      </c>
      <c r="M35" s="14">
        <v>1534</v>
      </c>
      <c r="N35" s="14">
        <v>1476</v>
      </c>
      <c r="O35" s="13">
        <v>380500</v>
      </c>
    </row>
    <row r="36" spans="2:15" x14ac:dyDescent="0.2">
      <c r="B36" s="6" t="s">
        <v>35</v>
      </c>
      <c r="C36" s="14">
        <v>9636</v>
      </c>
      <c r="D36" s="14">
        <v>9523</v>
      </c>
      <c r="E36" s="9">
        <v>95151</v>
      </c>
      <c r="F36" s="9">
        <v>94337</v>
      </c>
      <c r="G36" s="11">
        <v>35404</v>
      </c>
      <c r="H36" s="11">
        <v>36403</v>
      </c>
      <c r="I36" s="12">
        <v>40416</v>
      </c>
      <c r="J36" s="12">
        <v>44792</v>
      </c>
      <c r="K36" s="11">
        <v>22496</v>
      </c>
      <c r="L36" s="11">
        <v>26997</v>
      </c>
      <c r="M36" s="14">
        <v>1497</v>
      </c>
      <c r="N36" s="14">
        <v>1478</v>
      </c>
      <c r="O36" s="13">
        <v>380500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CB8EB-3AFC-40F0-A80D-EAB518AF0DC6}">
  <dimension ref="C3:G48"/>
  <sheetViews>
    <sheetView tabSelected="1" workbookViewId="0">
      <selection activeCell="I46" sqref="I46"/>
    </sheetView>
  </sheetViews>
  <sheetFormatPr defaultRowHeight="12.75" x14ac:dyDescent="0.2"/>
  <sheetData>
    <row r="3" spans="3:7" x14ac:dyDescent="0.2">
      <c r="G3" t="s">
        <v>36</v>
      </c>
    </row>
    <row r="4" spans="3:7" x14ac:dyDescent="0.2">
      <c r="C4" s="9">
        <v>101436</v>
      </c>
      <c r="D4" s="9">
        <v>101991</v>
      </c>
      <c r="G4">
        <f>AVERAGE(C4:D4)</f>
        <v>101713.5</v>
      </c>
    </row>
    <row r="5" spans="3:7" x14ac:dyDescent="0.2">
      <c r="C5" s="12">
        <v>56115</v>
      </c>
      <c r="D5" s="12">
        <v>52065</v>
      </c>
      <c r="G5">
        <f t="shared" ref="G5:G12" si="0">AVERAGE(C5:D5)</f>
        <v>54090</v>
      </c>
    </row>
    <row r="6" spans="3:7" x14ac:dyDescent="0.2">
      <c r="C6" s="12">
        <v>52378</v>
      </c>
      <c r="D6" s="12">
        <v>47490</v>
      </c>
      <c r="G6">
        <f t="shared" si="0"/>
        <v>49934</v>
      </c>
    </row>
    <row r="7" spans="3:7" x14ac:dyDescent="0.2">
      <c r="C7" s="12">
        <v>54805</v>
      </c>
      <c r="D7" s="12">
        <v>51623</v>
      </c>
      <c r="G7">
        <f t="shared" si="0"/>
        <v>53214</v>
      </c>
    </row>
    <row r="8" spans="3:7" x14ac:dyDescent="0.2">
      <c r="C8" s="16">
        <v>59520</v>
      </c>
      <c r="D8" s="16">
        <v>58996</v>
      </c>
      <c r="G8">
        <f t="shared" si="0"/>
        <v>59258</v>
      </c>
    </row>
    <row r="9" spans="3:7" x14ac:dyDescent="0.2">
      <c r="C9" s="15">
        <v>87416</v>
      </c>
      <c r="D9" s="15">
        <v>89134</v>
      </c>
      <c r="G9">
        <f t="shared" si="0"/>
        <v>88275</v>
      </c>
    </row>
    <row r="10" spans="3:7" x14ac:dyDescent="0.2">
      <c r="C10" s="9">
        <v>97785</v>
      </c>
      <c r="D10" s="15">
        <v>89712</v>
      </c>
      <c r="G10">
        <f t="shared" si="0"/>
        <v>93748.5</v>
      </c>
    </row>
    <row r="11" spans="3:7" x14ac:dyDescent="0.2">
      <c r="C11" s="9">
        <v>95151</v>
      </c>
      <c r="D11" s="9">
        <v>94337</v>
      </c>
      <c r="G11">
        <f t="shared" si="0"/>
        <v>94744</v>
      </c>
    </row>
    <row r="12" spans="3:7" x14ac:dyDescent="0.2">
      <c r="C12" s="10">
        <v>113926</v>
      </c>
      <c r="D12" s="10">
        <v>113694</v>
      </c>
      <c r="G12">
        <f t="shared" si="0"/>
        <v>113810</v>
      </c>
    </row>
    <row r="15" spans="3:7" x14ac:dyDescent="0.2">
      <c r="G15" t="s">
        <v>37</v>
      </c>
    </row>
    <row r="16" spans="3:7" x14ac:dyDescent="0.2">
      <c r="C16" s="11">
        <v>32568</v>
      </c>
      <c r="D16" s="11">
        <v>24903</v>
      </c>
      <c r="G16">
        <f>AVERAGE(C16:D16)</f>
        <v>28735.5</v>
      </c>
    </row>
    <row r="17" spans="3:7" x14ac:dyDescent="0.2">
      <c r="C17" s="14">
        <v>18225</v>
      </c>
      <c r="D17" s="14">
        <v>18985</v>
      </c>
      <c r="G17">
        <f t="shared" ref="G17:G24" si="1">AVERAGE(C17:D17)</f>
        <v>18605</v>
      </c>
    </row>
    <row r="18" spans="3:7" x14ac:dyDescent="0.2">
      <c r="C18" s="11">
        <v>28554</v>
      </c>
      <c r="D18" s="11">
        <v>28284</v>
      </c>
      <c r="G18">
        <f t="shared" si="1"/>
        <v>28419</v>
      </c>
    </row>
    <row r="19" spans="3:7" x14ac:dyDescent="0.2">
      <c r="C19" s="11">
        <v>32160</v>
      </c>
      <c r="D19" s="11">
        <v>31637</v>
      </c>
      <c r="G19">
        <f t="shared" si="1"/>
        <v>31898.5</v>
      </c>
    </row>
    <row r="20" spans="3:7" x14ac:dyDescent="0.2">
      <c r="C20" s="11">
        <v>31502</v>
      </c>
      <c r="D20" s="11">
        <v>30031</v>
      </c>
      <c r="G20">
        <f t="shared" si="1"/>
        <v>30766.5</v>
      </c>
    </row>
    <row r="21" spans="3:7" x14ac:dyDescent="0.2">
      <c r="C21" s="11">
        <v>31409</v>
      </c>
      <c r="D21" s="11">
        <v>30632</v>
      </c>
      <c r="G21">
        <f t="shared" si="1"/>
        <v>31020.5</v>
      </c>
    </row>
    <row r="22" spans="3:7" x14ac:dyDescent="0.2">
      <c r="C22" s="11">
        <v>35404</v>
      </c>
      <c r="D22" s="11">
        <v>36403</v>
      </c>
      <c r="G22">
        <f t="shared" si="1"/>
        <v>35903.5</v>
      </c>
    </row>
    <row r="23" spans="3:7" x14ac:dyDescent="0.2">
      <c r="C23" s="11">
        <v>29140</v>
      </c>
      <c r="D23" s="11">
        <v>28674</v>
      </c>
      <c r="G23">
        <f t="shared" si="1"/>
        <v>28907</v>
      </c>
    </row>
    <row r="24" spans="3:7" x14ac:dyDescent="0.2">
      <c r="C24" s="11">
        <v>33688</v>
      </c>
      <c r="D24" s="11">
        <v>37580</v>
      </c>
      <c r="G24">
        <f t="shared" si="1"/>
        <v>35634</v>
      </c>
    </row>
    <row r="27" spans="3:7" x14ac:dyDescent="0.2">
      <c r="G27" t="s">
        <v>38</v>
      </c>
    </row>
    <row r="28" spans="3:7" x14ac:dyDescent="0.2">
      <c r="C28" s="11">
        <v>27749</v>
      </c>
      <c r="D28" s="11">
        <v>25320</v>
      </c>
      <c r="G28">
        <f>AVERAGE(C28:D28)</f>
        <v>26534.5</v>
      </c>
    </row>
    <row r="29" spans="3:7" x14ac:dyDescent="0.2">
      <c r="C29" s="11">
        <v>20825</v>
      </c>
      <c r="D29" s="11">
        <v>21478</v>
      </c>
      <c r="G29">
        <f t="shared" ref="G29:G36" si="2">AVERAGE(C29:D29)</f>
        <v>21151.5</v>
      </c>
    </row>
    <row r="30" spans="3:7" x14ac:dyDescent="0.2">
      <c r="C30" s="11">
        <v>27995</v>
      </c>
      <c r="D30" s="11">
        <v>27724</v>
      </c>
      <c r="G30">
        <f t="shared" si="2"/>
        <v>27859.5</v>
      </c>
    </row>
    <row r="31" spans="3:7" x14ac:dyDescent="0.2">
      <c r="C31" s="11">
        <v>36103</v>
      </c>
      <c r="D31" s="11">
        <v>35058</v>
      </c>
      <c r="G31">
        <f t="shared" si="2"/>
        <v>35580.5</v>
      </c>
    </row>
    <row r="32" spans="3:7" x14ac:dyDescent="0.2">
      <c r="C32" s="11">
        <v>30855</v>
      </c>
      <c r="D32" s="11">
        <v>32342</v>
      </c>
      <c r="G32">
        <f t="shared" si="2"/>
        <v>31598.5</v>
      </c>
    </row>
    <row r="33" spans="3:7" x14ac:dyDescent="0.2">
      <c r="C33" s="12">
        <v>40416</v>
      </c>
      <c r="D33" s="12">
        <v>44792</v>
      </c>
      <c r="G33">
        <f t="shared" si="2"/>
        <v>42604</v>
      </c>
    </row>
    <row r="34" spans="3:7" x14ac:dyDescent="0.2">
      <c r="C34" s="12">
        <v>49215</v>
      </c>
      <c r="D34" s="12">
        <v>49507</v>
      </c>
      <c r="G34">
        <f t="shared" si="2"/>
        <v>49361</v>
      </c>
    </row>
    <row r="35" spans="3:7" x14ac:dyDescent="0.2">
      <c r="C35" s="12">
        <v>38817</v>
      </c>
      <c r="D35" s="12">
        <v>40985</v>
      </c>
      <c r="G35">
        <f t="shared" si="2"/>
        <v>39901</v>
      </c>
    </row>
    <row r="36" spans="3:7" x14ac:dyDescent="0.2">
      <c r="C36" s="11">
        <v>33435</v>
      </c>
      <c r="D36" s="11">
        <v>29129</v>
      </c>
      <c r="G36">
        <f t="shared" si="2"/>
        <v>31282</v>
      </c>
    </row>
    <row r="39" spans="3:7" x14ac:dyDescent="0.2">
      <c r="G39" s="17" t="s">
        <v>39</v>
      </c>
    </row>
    <row r="40" spans="3:7" x14ac:dyDescent="0.2">
      <c r="C40" s="14">
        <v>13200</v>
      </c>
      <c r="D40" s="14">
        <v>15388</v>
      </c>
      <c r="G40">
        <f>AVERAGE(C40:D40)</f>
        <v>14294</v>
      </c>
    </row>
    <row r="41" spans="3:7" x14ac:dyDescent="0.2">
      <c r="C41" s="14">
        <v>19676</v>
      </c>
      <c r="D41" s="14">
        <v>16388</v>
      </c>
      <c r="G41">
        <f t="shared" ref="G41:G48" si="3">AVERAGE(C41:D41)</f>
        <v>18032</v>
      </c>
    </row>
    <row r="42" spans="3:7" x14ac:dyDescent="0.2">
      <c r="C42" s="11">
        <v>21436</v>
      </c>
      <c r="D42" s="14">
        <v>16534</v>
      </c>
      <c r="G42">
        <f t="shared" si="3"/>
        <v>18985</v>
      </c>
    </row>
    <row r="43" spans="3:7" x14ac:dyDescent="0.2">
      <c r="C43" s="11">
        <v>23189</v>
      </c>
      <c r="D43" s="11">
        <v>20465</v>
      </c>
      <c r="G43">
        <f t="shared" si="3"/>
        <v>21827</v>
      </c>
    </row>
    <row r="44" spans="3:7" x14ac:dyDescent="0.2">
      <c r="C44" s="11">
        <v>22496</v>
      </c>
      <c r="D44" s="11">
        <v>26997</v>
      </c>
      <c r="G44">
        <f t="shared" si="3"/>
        <v>24746.5</v>
      </c>
    </row>
    <row r="45" spans="3:7" x14ac:dyDescent="0.2">
      <c r="C45" s="11">
        <v>21056</v>
      </c>
      <c r="D45" s="11">
        <v>24265</v>
      </c>
      <c r="G45">
        <f t="shared" si="3"/>
        <v>22660.5</v>
      </c>
    </row>
    <row r="46" spans="3:7" x14ac:dyDescent="0.2">
      <c r="C46" s="14">
        <v>17975</v>
      </c>
      <c r="D46" s="11">
        <v>22051</v>
      </c>
      <c r="G46">
        <f t="shared" si="3"/>
        <v>20013</v>
      </c>
    </row>
    <row r="47" spans="3:7" x14ac:dyDescent="0.2">
      <c r="C47" s="14">
        <v>16825</v>
      </c>
      <c r="D47" s="11">
        <v>21772</v>
      </c>
      <c r="G47">
        <f t="shared" si="3"/>
        <v>19298.5</v>
      </c>
    </row>
    <row r="48" spans="3:7" x14ac:dyDescent="0.2">
      <c r="C48" s="11">
        <v>20739</v>
      </c>
      <c r="D48" s="11">
        <v>20887</v>
      </c>
      <c r="G48">
        <f t="shared" si="3"/>
        <v>20813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Plate 1 - Sheet1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O'Brien, Emily M</dc:creator>
  <cp:lastModifiedBy>O'Brien, Emily M</cp:lastModifiedBy>
  <dcterms:created xsi:type="dcterms:W3CDTF">2011-01-18T20:51:17Z</dcterms:created>
  <dcterms:modified xsi:type="dcterms:W3CDTF">2024-07-08T15:42:59Z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