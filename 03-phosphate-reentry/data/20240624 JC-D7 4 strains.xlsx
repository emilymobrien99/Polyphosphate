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\Emily-OBrien\Cytation\"/>
    </mc:Choice>
  </mc:AlternateContent>
  <xr:revisionPtr revIDLastSave="0" documentId="8_{8C21AE3A-B45F-4406-A8DD-6FD543B87F3E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Plate 1 - Sheet1" sheetId="1" r:id="rId1"/>
    <sheet name="Sheet1" sheetId="2" r:id="rId2"/>
  </sheets>
  <definedNames>
    <definedName name="MethodPointer1">-160461008</definedName>
    <definedName name="MethodPointer2">546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2" l="1"/>
  <c r="D44" i="2"/>
  <c r="D45" i="2"/>
  <c r="D46" i="2"/>
  <c r="D47" i="2"/>
  <c r="D48" i="2"/>
  <c r="D49" i="2"/>
  <c r="D50" i="2"/>
  <c r="D42" i="2"/>
  <c r="D31" i="2"/>
  <c r="D32" i="2"/>
  <c r="D33" i="2"/>
  <c r="D34" i="2"/>
  <c r="D35" i="2"/>
  <c r="D36" i="2"/>
  <c r="D37" i="2"/>
  <c r="D38" i="2"/>
  <c r="D30" i="2"/>
  <c r="D19" i="2"/>
  <c r="D20" i="2"/>
  <c r="D21" i="2"/>
  <c r="D22" i="2"/>
  <c r="D23" i="2"/>
  <c r="D24" i="2"/>
  <c r="D25" i="2"/>
  <c r="D26" i="2"/>
  <c r="D18" i="2"/>
  <c r="D6" i="2"/>
  <c r="D7" i="2"/>
  <c r="D8" i="2"/>
  <c r="D9" i="2"/>
  <c r="D10" i="2"/>
  <c r="D11" i="2"/>
  <c r="D12" i="2"/>
  <c r="D13" i="2"/>
  <c r="D5" i="2"/>
</calcChain>
</file>

<file path=xl/sharedStrings.xml><?xml version="1.0" encoding="utf-8"?>
<sst xmlns="http://schemas.openxmlformats.org/spreadsheetml/2006/main" count="76" uniqueCount="49">
  <si>
    <t>Software Version</t>
  </si>
  <si>
    <t>3.08.01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</si>
  <si>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</si>
  <si>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</si>
  <si>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</si>
  <si>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</si>
  <si>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</si>
  <si>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</si>
  <si>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</si>
  <si>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</si>
  <si>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</si>
  <si>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</si>
  <si>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</si>
  <si>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</si>
  <si>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</si>
  <si>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</si>
  <si>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</si>
  <si>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</si>
  <si>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</si>
  <si>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</si>
  <si>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</t>
  </si>
  <si>
    <t xml:space="preserve">    Excitation: 380/40,  Emission: 500/20</t>
  </si>
  <si>
    <t xml:space="preserve">    Optics: Top,  Gain: extended</t>
  </si>
  <si>
    <t>Light Source: Xenon Flash,  Lamp Energy: High,  Extended Dynamic Range</t>
  </si>
  <si>
    <t>Read Speed: Normal,  Delay: 100 msec,  Measurements/Data Point: 10</t>
  </si>
  <si>
    <t>Read Height: 7 mm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</si>
  <si>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</si>
  <si>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</si>
  <si>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</si>
  <si>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</si>
  <si>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</si>
  <si>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</si>
  <si>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</si>
  <si>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</si>
  <si>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</si>
  <si>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</si>
  <si>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Sc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</si>
  <si>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</si>
  <si>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</si>
  <si>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</si>
  <si>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</si>
  <si>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</si>
  <si>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</si>
  <si>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</si>
  <si>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</si>
  <si>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</si>
  <si>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Cg</t>
  </si>
  <si>
    <t>Kl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</si>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</sst>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36"/>
  <sheetViews>
    <sheetView topLeftCell="A19" workbookViewId="0">
      <selection activeCell="M29" sqref="M29:N32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45467</v>
      </c>
    </row>
    <row r="8" spans="1:2" x14ac:dyDescent="0.2">
      <c r="A8" t="s">
        <v>7</v>
      </c>
      <c r="B8" s="2">
        <v>0.43910879629629629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19112517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</row>
    <row r="16" spans="1:2" x14ac:dyDescent="0.2">
      <c r="A16" t="s">
        <v>17</v>
      </c>
      <c r="B16" t="s">
        <v>18</v>
      </c>
    </row>
    <row r="17" spans="1:15" x14ac:dyDescent="0.2">
      <c r="B17" t="s">
        <v>19</v>
      </c>
    </row>
    <row r="18" spans="1:15" x14ac:dyDescent="0.2">
      <c r="B18" t="s">
        <v>20</v>
      </c>
    </row>
    <row r="19" spans="1:15" x14ac:dyDescent="0.2">
      <c r="B19" t="s">
        <v>21</v>
      </c>
    </row>
    <row r="20" spans="1:15" x14ac:dyDescent="0.2">
      <c r="B20" t="s">
        <v>22</v>
      </c>
    </row>
    <row r="21" spans="1:15" x14ac:dyDescent="0.2">
      <c r="B21" t="s">
        <v>23</v>
      </c>
    </row>
    <row r="22" spans="1:15" x14ac:dyDescent="0.2">
      <c r="B22" t="s">
        <v>24</v>
      </c>
    </row>
    <row r="23" spans="1:15" x14ac:dyDescent="0.2">
      <c r="B23" t="s">
        <v>25</v>
      </c>
    </row>
    <row r="25" spans="1:15" x14ac:dyDescent="0.2">
      <c r="A25" s="3" t="s">
        <v>26</v>
      </c>
      <c r="B25" s="4"/>
    </row>
    <row r="26" spans="1:15" x14ac:dyDescent="0.2">
      <c r="A26" t="s">
        <v>27</v>
      </c>
      <c r="B26">
        <v>29.9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x14ac:dyDescent="0.2">
      <c r="B29" s="6" t="s">
        <v>28</v>
      </c>
      <c r="C29" s="7">
        <v>147633</v>
      </c>
      <c r="D29" s="7">
        <v>151004</v>
      </c>
      <c r="E29" s="8">
        <v>104846</v>
      </c>
      <c r="F29" s="8">
        <v>106752</v>
      </c>
      <c r="G29" s="9">
        <v>123209</v>
      </c>
      <c r="H29" s="10">
        <v>116882</v>
      </c>
      <c r="I29" s="11">
        <v>20043</v>
      </c>
      <c r="J29" s="11">
        <v>22018</v>
      </c>
      <c r="K29" s="12">
        <v>37053</v>
      </c>
      <c r="L29" s="13">
        <v>41654</v>
      </c>
      <c r="M29" s="12">
        <v>26775</v>
      </c>
      <c r="N29" s="12">
        <v>26821</v>
      </c>
      <c r="O29" s="14">
        <v>380500</v>
      </c>
    </row>
    <row r="30" spans="1:15" x14ac:dyDescent="0.2">
      <c r="B30" s="6" t="s">
        <v>29</v>
      </c>
      <c r="C30" s="9">
        <v>133840</v>
      </c>
      <c r="D30" s="9">
        <v>128611</v>
      </c>
      <c r="E30" s="15">
        <v>89726</v>
      </c>
      <c r="F30" s="8">
        <v>109763</v>
      </c>
      <c r="G30" s="12">
        <v>30880</v>
      </c>
      <c r="H30" s="12">
        <v>26086</v>
      </c>
      <c r="I30" s="11">
        <v>21197</v>
      </c>
      <c r="J30" s="11">
        <v>22973</v>
      </c>
      <c r="K30" s="13">
        <v>41583</v>
      </c>
      <c r="L30" s="13">
        <v>41550</v>
      </c>
      <c r="M30" s="12">
        <v>26008</v>
      </c>
      <c r="N30" s="12">
        <v>26178</v>
      </c>
      <c r="O30" s="14">
        <v>380500</v>
      </c>
    </row>
    <row r="31" spans="1:15" x14ac:dyDescent="0.2">
      <c r="B31" s="6" t="s">
        <v>30</v>
      </c>
      <c r="C31" s="8">
        <v>98536</v>
      </c>
      <c r="D31" s="8">
        <v>99000</v>
      </c>
      <c r="E31" s="16">
        <v>73063</v>
      </c>
      <c r="F31" s="15">
        <v>86554</v>
      </c>
      <c r="G31" s="12">
        <v>30610</v>
      </c>
      <c r="H31" s="12">
        <v>29508</v>
      </c>
      <c r="I31" s="11">
        <v>23050</v>
      </c>
      <c r="J31" s="11">
        <v>23150</v>
      </c>
      <c r="K31" s="12">
        <v>33866</v>
      </c>
      <c r="L31" s="12">
        <v>32031</v>
      </c>
      <c r="M31" s="12">
        <v>26278</v>
      </c>
      <c r="N31" s="11">
        <v>24842</v>
      </c>
      <c r="O31" s="14">
        <v>380500</v>
      </c>
    </row>
    <row r="32" spans="1:15" x14ac:dyDescent="0.2">
      <c r="B32" s="6" t="s">
        <v>31</v>
      </c>
      <c r="C32" s="16">
        <v>62974</v>
      </c>
      <c r="D32" s="17">
        <v>76616</v>
      </c>
      <c r="E32" s="16">
        <v>68493</v>
      </c>
      <c r="F32" s="17">
        <v>82338</v>
      </c>
      <c r="G32" s="12">
        <v>29808</v>
      </c>
      <c r="H32" s="12">
        <v>27950</v>
      </c>
      <c r="I32" s="11">
        <v>23945</v>
      </c>
      <c r="J32" s="11">
        <v>22551</v>
      </c>
      <c r="K32" s="11">
        <v>17186</v>
      </c>
      <c r="L32" s="12">
        <v>34259</v>
      </c>
      <c r="M32" s="11">
        <v>18829</v>
      </c>
      <c r="N32" s="11">
        <v>19252</v>
      </c>
      <c r="O32" s="14">
        <v>380500</v>
      </c>
    </row>
    <row r="33" spans="2:15" x14ac:dyDescent="0.2">
      <c r="B33" s="6" t="s">
        <v>32</v>
      </c>
      <c r="C33" s="13">
        <v>47052</v>
      </c>
      <c r="D33" s="18">
        <v>54041</v>
      </c>
      <c r="E33" s="16">
        <v>66951</v>
      </c>
      <c r="F33" s="17">
        <v>74922</v>
      </c>
      <c r="G33" s="11">
        <v>24684</v>
      </c>
      <c r="H33" s="11">
        <v>25067</v>
      </c>
      <c r="I33" s="12">
        <v>27733</v>
      </c>
      <c r="J33" s="12">
        <v>26028</v>
      </c>
      <c r="K33" s="11">
        <v>16519</v>
      </c>
      <c r="L33" s="11">
        <v>19389</v>
      </c>
      <c r="M33" s="19">
        <v>170507</v>
      </c>
      <c r="N33" s="7">
        <v>153423</v>
      </c>
      <c r="O33" s="14">
        <v>380500</v>
      </c>
    </row>
    <row r="34" spans="2:15" x14ac:dyDescent="0.2">
      <c r="B34" s="6" t="s">
        <v>33</v>
      </c>
      <c r="C34" s="12">
        <v>34273</v>
      </c>
      <c r="D34" s="12">
        <v>35798</v>
      </c>
      <c r="E34" s="17">
        <v>78496</v>
      </c>
      <c r="F34" s="17">
        <v>82275</v>
      </c>
      <c r="G34" s="11">
        <v>24456</v>
      </c>
      <c r="H34" s="11">
        <v>24879</v>
      </c>
      <c r="I34" s="12">
        <v>32949</v>
      </c>
      <c r="J34" s="12">
        <v>31404</v>
      </c>
      <c r="K34" s="11">
        <v>17535</v>
      </c>
      <c r="L34" s="11">
        <v>17940</v>
      </c>
      <c r="M34" s="20">
        <v>1002</v>
      </c>
      <c r="N34" s="20">
        <v>1028</v>
      </c>
      <c r="O34" s="14">
        <v>380500</v>
      </c>
    </row>
    <row r="35" spans="2:15" x14ac:dyDescent="0.2">
      <c r="B35" s="6" t="s">
        <v>34</v>
      </c>
      <c r="C35" s="12">
        <v>25518</v>
      </c>
      <c r="D35" s="11">
        <v>24665</v>
      </c>
      <c r="E35" s="8">
        <v>100612</v>
      </c>
      <c r="F35" s="8">
        <v>106186</v>
      </c>
      <c r="G35" s="11">
        <v>19960</v>
      </c>
      <c r="H35" s="11">
        <v>23005</v>
      </c>
      <c r="I35" s="12">
        <v>35046</v>
      </c>
      <c r="J35" s="12">
        <v>35751</v>
      </c>
      <c r="K35" s="11">
        <v>19983</v>
      </c>
      <c r="L35" s="11">
        <v>20970</v>
      </c>
      <c r="M35" s="20">
        <v>1488</v>
      </c>
      <c r="N35" s="20">
        <v>962</v>
      </c>
      <c r="O35" s="14">
        <v>380500</v>
      </c>
    </row>
    <row r="36" spans="2:15" x14ac:dyDescent="0.2">
      <c r="B36" s="6" t="s">
        <v>35</v>
      </c>
      <c r="C36" s="20">
        <v>5844</v>
      </c>
      <c r="D36" s="20">
        <v>6010</v>
      </c>
      <c r="E36" s="10">
        <v>113295</v>
      </c>
      <c r="F36" s="9">
        <v>125215</v>
      </c>
      <c r="G36" s="12">
        <v>28909</v>
      </c>
      <c r="H36" s="12">
        <v>28503</v>
      </c>
      <c r="I36" s="12">
        <v>36116</v>
      </c>
      <c r="J36" s="12">
        <v>32535</v>
      </c>
      <c r="K36" s="11">
        <v>20522</v>
      </c>
      <c r="L36" s="11">
        <v>19878</v>
      </c>
      <c r="M36" s="20">
        <v>967</v>
      </c>
      <c r="N36" s="20">
        <v>1005</v>
      </c>
      <c r="O36" s="14">
        <v>380500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7B19E-47F5-443C-B3ED-72C5CB6AB13F}">
  <dimension ref="C4:G50"/>
  <sheetViews>
    <sheetView tabSelected="1" workbookViewId="0">
      <selection activeCell="D54" sqref="D54"/>
    </sheetView>
  </sheetViews>
  <sheetFormatPr defaultRowHeight="12.75" x14ac:dyDescent="0.2"/>
  <sheetData>
    <row r="4" spans="3:7" x14ac:dyDescent="0.2">
      <c r="D4" t="s">
        <v>36</v>
      </c>
    </row>
    <row r="5" spans="3:7" x14ac:dyDescent="0.2">
      <c r="C5" t="s">
        <v>37</v>
      </c>
      <c r="D5">
        <f>AVERAGE(F5:G5)</f>
        <v>105799</v>
      </c>
      <c r="F5" s="8">
        <v>104846</v>
      </c>
      <c r="G5" s="8">
        <v>106752</v>
      </c>
    </row>
    <row r="6" spans="3:7" x14ac:dyDescent="0.2">
      <c r="C6" t="s">
        <v>38</v>
      </c>
      <c r="D6">
        <f t="shared" ref="D6:D13" si="0">AVERAGE(F6:G6)</f>
        <v>99744.5</v>
      </c>
      <c r="F6" s="15">
        <v>89726</v>
      </c>
      <c r="G6" s="8">
        <v>109763</v>
      </c>
    </row>
    <row r="7" spans="3:7" x14ac:dyDescent="0.2">
      <c r="C7" t="s">
        <v>39</v>
      </c>
      <c r="D7">
        <f t="shared" si="0"/>
        <v>79808.5</v>
      </c>
      <c r="F7" s="16">
        <v>73063</v>
      </c>
      <c r="G7" s="15">
        <v>86554</v>
      </c>
    </row>
    <row r="8" spans="3:7" x14ac:dyDescent="0.2">
      <c r="C8" t="s">
        <v>40</v>
      </c>
      <c r="D8">
        <f t="shared" si="0"/>
        <v>75415.5</v>
      </c>
      <c r="F8" s="16">
        <v>68493</v>
      </c>
      <c r="G8" s="17">
        <v>82338</v>
      </c>
    </row>
    <row r="9" spans="3:7" x14ac:dyDescent="0.2">
      <c r="C9" t="s">
        <v>41</v>
      </c>
      <c r="D9">
        <f t="shared" si="0"/>
        <v>70936.5</v>
      </c>
      <c r="F9" s="16">
        <v>66951</v>
      </c>
      <c r="G9" s="17">
        <v>74922</v>
      </c>
    </row>
    <row r="10" spans="3:7" x14ac:dyDescent="0.2">
      <c r="C10" t="s">
        <v>42</v>
      </c>
      <c r="D10">
        <f t="shared" si="0"/>
        <v>80385.5</v>
      </c>
      <c r="F10" s="17">
        <v>78496</v>
      </c>
      <c r="G10" s="17">
        <v>82275</v>
      </c>
    </row>
    <row r="11" spans="3:7" x14ac:dyDescent="0.2">
      <c r="C11" t="s">
        <v>43</v>
      </c>
      <c r="D11">
        <f t="shared" si="0"/>
        <v>103399</v>
      </c>
      <c r="F11" s="8">
        <v>100612</v>
      </c>
      <c r="G11" s="8">
        <v>106186</v>
      </c>
    </row>
    <row r="12" spans="3:7" x14ac:dyDescent="0.2">
      <c r="C12" t="s">
        <v>44</v>
      </c>
      <c r="D12">
        <f t="shared" si="0"/>
        <v>119255</v>
      </c>
      <c r="F12" s="10">
        <v>113295</v>
      </c>
      <c r="G12" s="9">
        <v>125215</v>
      </c>
    </row>
    <row r="13" spans="3:7" x14ac:dyDescent="0.2">
      <c r="C13" t="s">
        <v>45</v>
      </c>
      <c r="D13">
        <f t="shared" si="0"/>
        <v>120045.5</v>
      </c>
      <c r="F13" s="9">
        <v>123209</v>
      </c>
      <c r="G13" s="10">
        <v>116882</v>
      </c>
    </row>
    <row r="17" spans="3:7" x14ac:dyDescent="0.2">
      <c r="D17" t="s">
        <v>46</v>
      </c>
    </row>
    <row r="18" spans="3:7" x14ac:dyDescent="0.2">
      <c r="C18" t="s">
        <v>37</v>
      </c>
      <c r="D18">
        <f>AVERAGE(F18:G18)</f>
        <v>28483</v>
      </c>
      <c r="F18" s="12">
        <v>30880</v>
      </c>
      <c r="G18" s="12">
        <v>26086</v>
      </c>
    </row>
    <row r="19" spans="3:7" x14ac:dyDescent="0.2">
      <c r="C19" t="s">
        <v>38</v>
      </c>
      <c r="D19">
        <f t="shared" ref="D19:D26" si="1">AVERAGE(F19:G19)</f>
        <v>30059</v>
      </c>
      <c r="F19" s="12">
        <v>30610</v>
      </c>
      <c r="G19" s="12">
        <v>29508</v>
      </c>
    </row>
    <row r="20" spans="3:7" x14ac:dyDescent="0.2">
      <c r="C20" t="s">
        <v>39</v>
      </c>
      <c r="D20">
        <f t="shared" si="1"/>
        <v>28879</v>
      </c>
      <c r="F20" s="12">
        <v>29808</v>
      </c>
      <c r="G20" s="12">
        <v>27950</v>
      </c>
    </row>
    <row r="21" spans="3:7" x14ac:dyDescent="0.2">
      <c r="C21" t="s">
        <v>40</v>
      </c>
      <c r="D21">
        <f t="shared" si="1"/>
        <v>24875.5</v>
      </c>
      <c r="F21" s="11">
        <v>24684</v>
      </c>
      <c r="G21" s="11">
        <v>25067</v>
      </c>
    </row>
    <row r="22" spans="3:7" x14ac:dyDescent="0.2">
      <c r="C22" t="s">
        <v>41</v>
      </c>
      <c r="D22">
        <f t="shared" si="1"/>
        <v>24667.5</v>
      </c>
      <c r="F22" s="11">
        <v>24456</v>
      </c>
      <c r="G22" s="11">
        <v>24879</v>
      </c>
    </row>
    <row r="23" spans="3:7" x14ac:dyDescent="0.2">
      <c r="C23" t="s">
        <v>42</v>
      </c>
      <c r="D23">
        <f t="shared" si="1"/>
        <v>21482.5</v>
      </c>
      <c r="F23" s="11">
        <v>19960</v>
      </c>
      <c r="G23" s="11">
        <v>23005</v>
      </c>
    </row>
    <row r="24" spans="3:7" x14ac:dyDescent="0.2">
      <c r="C24" t="s">
        <v>43</v>
      </c>
      <c r="D24">
        <f t="shared" si="1"/>
        <v>28706</v>
      </c>
      <c r="F24" s="12">
        <v>28909</v>
      </c>
      <c r="G24" s="12">
        <v>28503</v>
      </c>
    </row>
    <row r="25" spans="3:7" x14ac:dyDescent="0.2">
      <c r="C25" t="s">
        <v>44</v>
      </c>
      <c r="D25">
        <f t="shared" si="1"/>
        <v>21030.5</v>
      </c>
      <c r="F25" s="11">
        <v>20043</v>
      </c>
      <c r="G25" s="11">
        <v>22018</v>
      </c>
    </row>
    <row r="26" spans="3:7" x14ac:dyDescent="0.2">
      <c r="C26" t="s">
        <v>45</v>
      </c>
      <c r="D26">
        <f t="shared" si="1"/>
        <v>22085</v>
      </c>
      <c r="F26" s="11">
        <v>21197</v>
      </c>
      <c r="G26" s="11">
        <v>22973</v>
      </c>
    </row>
    <row r="29" spans="3:7" x14ac:dyDescent="0.2">
      <c r="D29" t="s">
        <v>47</v>
      </c>
    </row>
    <row r="30" spans="3:7" x14ac:dyDescent="0.2">
      <c r="C30" t="s">
        <v>37</v>
      </c>
      <c r="D30">
        <f>AVERAGE(F30:G30)</f>
        <v>23100</v>
      </c>
      <c r="F30" s="11">
        <v>23050</v>
      </c>
      <c r="G30" s="11">
        <v>23150</v>
      </c>
    </row>
    <row r="31" spans="3:7" x14ac:dyDescent="0.2">
      <c r="C31" t="s">
        <v>38</v>
      </c>
      <c r="D31">
        <f t="shared" ref="D31:D38" si="2">AVERAGE(F31:G31)</f>
        <v>23248</v>
      </c>
      <c r="F31" s="11">
        <v>23945</v>
      </c>
      <c r="G31" s="11">
        <v>22551</v>
      </c>
    </row>
    <row r="32" spans="3:7" x14ac:dyDescent="0.2">
      <c r="C32" t="s">
        <v>39</v>
      </c>
      <c r="D32">
        <f t="shared" si="2"/>
        <v>26880.5</v>
      </c>
      <c r="F32" s="12">
        <v>27733</v>
      </c>
      <c r="G32" s="12">
        <v>26028</v>
      </c>
    </row>
    <row r="33" spans="3:7" x14ac:dyDescent="0.2">
      <c r="C33" t="s">
        <v>40</v>
      </c>
      <c r="D33">
        <f t="shared" si="2"/>
        <v>32176.5</v>
      </c>
      <c r="F33" s="12">
        <v>32949</v>
      </c>
      <c r="G33" s="12">
        <v>31404</v>
      </c>
    </row>
    <row r="34" spans="3:7" x14ac:dyDescent="0.2">
      <c r="C34" t="s">
        <v>41</v>
      </c>
      <c r="D34">
        <f t="shared" si="2"/>
        <v>35398.5</v>
      </c>
      <c r="F34" s="12">
        <v>35046</v>
      </c>
      <c r="G34" s="12">
        <v>35751</v>
      </c>
    </row>
    <row r="35" spans="3:7" x14ac:dyDescent="0.2">
      <c r="C35" t="s">
        <v>42</v>
      </c>
      <c r="D35">
        <f t="shared" si="2"/>
        <v>34325.5</v>
      </c>
      <c r="F35" s="12">
        <v>36116</v>
      </c>
      <c r="G35" s="12">
        <v>32535</v>
      </c>
    </row>
    <row r="36" spans="3:7" x14ac:dyDescent="0.2">
      <c r="C36" t="s">
        <v>43</v>
      </c>
      <c r="D36">
        <f t="shared" si="2"/>
        <v>39353.5</v>
      </c>
      <c r="F36" s="12">
        <v>37053</v>
      </c>
      <c r="G36" s="13">
        <v>41654</v>
      </c>
    </row>
    <row r="37" spans="3:7" x14ac:dyDescent="0.2">
      <c r="C37" t="s">
        <v>44</v>
      </c>
      <c r="D37">
        <f t="shared" si="2"/>
        <v>41566.5</v>
      </c>
      <c r="F37" s="13">
        <v>41583</v>
      </c>
      <c r="G37" s="13">
        <v>41550</v>
      </c>
    </row>
    <row r="38" spans="3:7" x14ac:dyDescent="0.2">
      <c r="C38" t="s">
        <v>45</v>
      </c>
      <c r="D38">
        <f t="shared" si="2"/>
        <v>32948.5</v>
      </c>
      <c r="F38" s="12">
        <v>33866</v>
      </c>
      <c r="G38" s="12">
        <v>32031</v>
      </c>
    </row>
    <row r="41" spans="3:7" x14ac:dyDescent="0.2">
      <c r="D41" t="s">
        <v>48</v>
      </c>
    </row>
    <row r="42" spans="3:7" x14ac:dyDescent="0.2">
      <c r="C42" t="s">
        <v>37</v>
      </c>
      <c r="D42">
        <f>AVERAGE(F42:G42)</f>
        <v>25722.5</v>
      </c>
      <c r="F42" s="11">
        <v>17186</v>
      </c>
      <c r="G42" s="12">
        <v>34259</v>
      </c>
    </row>
    <row r="43" spans="3:7" x14ac:dyDescent="0.2">
      <c r="C43" t="s">
        <v>38</v>
      </c>
      <c r="D43">
        <f t="shared" ref="D43:D50" si="3">AVERAGE(F43:G43)</f>
        <v>17954</v>
      </c>
      <c r="F43" s="11">
        <v>16519</v>
      </c>
      <c r="G43" s="11">
        <v>19389</v>
      </c>
    </row>
    <row r="44" spans="3:7" x14ac:dyDescent="0.2">
      <c r="C44" t="s">
        <v>39</v>
      </c>
      <c r="D44">
        <f t="shared" si="3"/>
        <v>17737.5</v>
      </c>
      <c r="F44" s="11">
        <v>17535</v>
      </c>
      <c r="G44" s="11">
        <v>17940</v>
      </c>
    </row>
    <row r="45" spans="3:7" x14ac:dyDescent="0.2">
      <c r="C45" t="s">
        <v>40</v>
      </c>
      <c r="D45">
        <f t="shared" si="3"/>
        <v>20476.5</v>
      </c>
      <c r="F45" s="11">
        <v>19983</v>
      </c>
      <c r="G45" s="11">
        <v>20970</v>
      </c>
    </row>
    <row r="46" spans="3:7" x14ac:dyDescent="0.2">
      <c r="C46" t="s">
        <v>41</v>
      </c>
      <c r="D46">
        <f t="shared" si="3"/>
        <v>20200</v>
      </c>
      <c r="F46" s="11">
        <v>20522</v>
      </c>
      <c r="G46" s="11">
        <v>19878</v>
      </c>
    </row>
    <row r="47" spans="3:7" x14ac:dyDescent="0.2">
      <c r="C47" t="s">
        <v>42</v>
      </c>
      <c r="D47">
        <f t="shared" si="3"/>
        <v>26798</v>
      </c>
      <c r="F47" s="12">
        <v>26775</v>
      </c>
      <c r="G47" s="12">
        <v>26821</v>
      </c>
    </row>
    <row r="48" spans="3:7" x14ac:dyDescent="0.2">
      <c r="C48" t="s">
        <v>43</v>
      </c>
      <c r="D48">
        <f t="shared" si="3"/>
        <v>26093</v>
      </c>
      <c r="F48" s="12">
        <v>26008</v>
      </c>
      <c r="G48" s="12">
        <v>26178</v>
      </c>
    </row>
    <row r="49" spans="3:7" x14ac:dyDescent="0.2">
      <c r="C49" t="s">
        <v>44</v>
      </c>
      <c r="D49">
        <f t="shared" si="3"/>
        <v>25560</v>
      </c>
      <c r="F49" s="12">
        <v>26278</v>
      </c>
      <c r="G49" s="11">
        <v>24842</v>
      </c>
    </row>
    <row r="50" spans="3:7" x14ac:dyDescent="0.2">
      <c r="C50" t="s">
        <v>45</v>
      </c>
      <c r="D50">
        <f t="shared" si="3"/>
        <v>19040.5</v>
      </c>
      <c r="F50" s="11">
        <v>18829</v>
      </c>
      <c r="G50" s="11">
        <v>19252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He, Bin</dc:creator>
  <cp:lastModifiedBy>O'Brien, Emily M</cp:lastModifiedBy>
  <dcterms:created xsi:type="dcterms:W3CDTF">2011-01-18T20:51:17Z</dcterms:created>
  <dcterms:modified xsi:type="dcterms:W3CDTF">2024-06-24T15:59:51Z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